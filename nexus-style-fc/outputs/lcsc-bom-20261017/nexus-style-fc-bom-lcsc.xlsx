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f45df66d1a41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9e5a4c788e91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E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320ed43c74f65" /><Relationship Type="http://schemas.openxmlformats.org/officeDocument/2006/relationships/theme" Target="/xl/theme/theme1.xml" Id="Re033503f310841e7" /><Relationship Type="http://schemas.openxmlformats.org/officeDocument/2006/relationships/sharedStrings" Target="/xl/sharedStrings.xml" Id="Rddd8aad9d1654fb3" /><Relationship Type="http://schemas.openxmlformats.org/officeDocument/2006/relationships/worksheet" Target="/xl/worksheets/sheet1.xml" Id="R9e5a4c788e9143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49" hidden="0" customWidth="1"/>
    <x:col min="3" max="3" width="23" hidden="0" customWidth="1"/>
    <x:col min="4" max="4" width="12" hidden="0" customWidth="1"/>
  </x:cols>
  <x:sheetData>
    <x:row r="1" ht="15" hidden="0" customHeight="1">
      <x:c r="A1" s="6" t="str">
        <x:v>Description</x:v>
      </x:c>
      <x:c r="B1" s="6" t="str">
        <x:v>Customer Part Number</x:v>
      </x:c>
      <x:c r="C1" s="6" t="str">
        <x:v>LCSC Part Number</x:v>
      </x:c>
      <x:c r="D1" s="6" t="str">
        <x:v>Quantity</x:v>
      </x:c>
    </x:row>
    <x:row r="2" ht="15" hidden="0" customHeight="1">
      <x:c r="A2" s="7" t="str">
        <x:v>30pF</x:v>
      </x:c>
      <x:c r="B2" s="7" t="str">
        <x:v>C11,C12</x:v>
      </x:c>
      <x:c r="C2" s="7" t="str">
        <x:v>C1570</x:v>
      </x:c>
      <x:c r="D2" s="8" t="n">
        <x:f>LEN(B2)-LEN(SUBSTITUTE(B2,",",""))+1</x:f>
        <x:v>2</x:v>
      </x:c>
    </x:row>
    <x:row r="3" ht="15" hidden="0" customHeight="1">
      <x:c r="A3" s="7" t="str">
        <x:v>2.2uF</x:v>
      </x:c>
      <x:c r="B3" s="7" t="str">
        <x:v>C14</x:v>
      </x:c>
      <x:c r="C3" s="7" t="str">
        <x:v>C12530</x:v>
      </x:c>
      <x:c r="D3" s="8" t="n">
        <x:f>LEN(B3)-LEN(SUBSTITUTE(B3,",",""))+1</x:f>
        <x:v>1</x:v>
      </x:c>
    </x:row>
    <x:row r="4" ht="15" hidden="0" customHeight="1">
      <x:c r="A4" s="7" t="str">
        <x:v>10nF</x:v>
      </x:c>
      <x:c r="B4" s="7" t="str">
        <x:v>C15</x:v>
      </x:c>
      <x:c r="C4" s="7" t="str">
        <x:v>C15195</x:v>
      </x:c>
      <x:c r="D4" s="8" t="n">
        <x:f>LEN(B4)-LEN(SUBSTITUTE(B4,",",""))+1</x:f>
        <x:v>1</x:v>
      </x:c>
    </x:row>
    <x:row r="5" ht="15" hidden="0" customHeight="1">
      <x:c r="A5" s="7" t="str">
        <x:v>10uF</x:v>
      </x:c>
      <x:c r="B5" s="7" t="str">
        <x:v>C19</x:v>
      </x:c>
      <x:c r="C5" s="7" t="str">
        <x:v>C19702</x:v>
      </x:c>
      <x:c r="D5" s="8" t="n">
        <x:f>LEN(B5)-LEN(SUBSTITUTE(B5,",",""))+1</x:f>
        <x:v>1</x:v>
      </x:c>
    </x:row>
    <x:row r="6" ht="15" hidden="0" customHeight="1">
      <x:c r="A6" s="7" t="str">
        <x:v>10uF</x:v>
      </x:c>
      <x:c r="B6" s="7" t="str">
        <x:v>C21</x:v>
      </x:c>
      <x:c r="C6" s="7" t="str">
        <x:v>C96446</x:v>
      </x:c>
      <x:c r="D6" s="8" t="n">
        <x:f>LEN(B6)-LEN(SUBSTITUTE(B6,",",""))+1</x:f>
        <x:v>1</x:v>
      </x:c>
    </x:row>
    <x:row r="7" ht="15" hidden="0" customHeight="1">
      <x:c r="A7" s="7" t="str">
        <x:v>100nF</x:v>
      </x:c>
      <x:c r="B7" s="7" t="str">
        <x:v>C1,C2,C3,C4,C7,C8,C10,C13,C16,C17,C20,C22,C29,C30</x:v>
      </x:c>
      <x:c r="C7" s="7" t="str">
        <x:v>C1525</x:v>
      </x:c>
      <x:c r="D7" s="8" t="n">
        <x:f>LEN(B7)-LEN(SUBSTITUTE(B7,",",""))+1</x:f>
        <x:v>14</x:v>
      </x:c>
    </x:row>
    <x:row r="8" ht="15" hidden="0" customHeight="1">
      <x:c r="A8" s="7" t="str">
        <x:v>3.3nF</x:v>
      </x:c>
      <x:c r="B8" s="7" t="str">
        <x:v>C23</x:v>
      </x:c>
      <x:c r="C8" s="7" t="str">
        <x:v>C26404</x:v>
      </x:c>
      <x:c r="D8" s="8" t="n">
        <x:f>LEN(B8)-LEN(SUBSTITUTE(B8,",",""))+1</x:f>
        <x:v>1</x:v>
      </x:c>
    </x:row>
    <x:row r="9" ht="15" hidden="0" customHeight="1">
      <x:c r="A9" s="7" t="str">
        <x:v>22uF</x:v>
      </x:c>
      <x:c r="B9" s="7" t="str">
        <x:v>C24,C26,C27,C31</x:v>
      </x:c>
      <x:c r="C9" s="7" t="str">
        <x:v>C602037</x:v>
      </x:c>
      <x:c r="D9" s="8" t="n">
        <x:f>LEN(B9)-LEN(SUBSTITUTE(B9,",",""))+1</x:f>
        <x:v>4</x:v>
      </x:c>
    </x:row>
    <x:row r="10" ht="15" hidden="0" customHeight="1">
      <x:c r="A10" s="7" t="str">
        <x:v>22uF</x:v>
      </x:c>
      <x:c r="B10" s="7" t="str">
        <x:v>C28</x:v>
      </x:c>
      <x:c r="C10" s="7" t="str">
        <x:v>C86295</x:v>
      </x:c>
      <x:c r="D10" s="8" t="n">
        <x:f>LEN(B10)-LEN(SUBSTITUTE(B10,",",""))+1</x:f>
        <x:v>1</x:v>
      </x:c>
    </x:row>
    <x:row r="11" ht="15" hidden="0" customHeight="1">
      <x:c r="A11" s="7" t="str">
        <x:v>4.7uF</x:v>
      </x:c>
      <x:c r="B11" s="7" t="str">
        <x:v>C5</x:v>
      </x:c>
      <x:c r="C11" s="7" t="str">
        <x:v>C69335</x:v>
      </x:c>
      <x:c r="D11" s="8" t="n">
        <x:f>LEN(B11)-LEN(SUBSTITUTE(B11,",",""))+1</x:f>
        <x:v>1</x:v>
      </x:c>
    </x:row>
    <x:row r="12" ht="15" hidden="0" customHeight="1">
      <x:c r="A12" s="7" t="str">
        <x:v>1uF</x:v>
      </x:c>
      <x:c r="B12" s="7" t="str">
        <x:v>C6,C18,C25</x:v>
      </x:c>
      <x:c r="C12" s="7" t="str">
        <x:v>C52923</x:v>
      </x:c>
      <x:c r="D12" s="8" t="n">
        <x:f>LEN(B12)-LEN(SUBSTITUTE(B12,",",""))+1</x:f>
        <x:v>3</x:v>
      </x:c>
    </x:row>
    <x:row r="13" ht="15" hidden="0" customHeight="1">
      <x:c r="A13" s="7" t="str">
        <x:v>4.7uF</x:v>
      </x:c>
      <x:c r="B13" s="7" t="str">
        <x:v>C9</x:v>
      </x:c>
      <x:c r="C13" s="7" t="str">
        <x:v>C368809</x:v>
      </x:c>
      <x:c r="D13" s="8" t="n">
        <x:f>LEN(B13)-LEN(SUBSTITUTE(B13,",",""))+1</x:f>
        <x:v>1</x:v>
      </x:c>
    </x:row>
    <x:row r="14" ht="15" hidden="0" customHeight="1">
      <x:c r="A14" s="7" t="str">
        <x:v>LED1 yellow-green</x:v>
      </x:c>
      <x:c r="B14" s="7" t="str">
        <x:v>D1</x:v>
      </x:c>
      <x:c r="C14" s="7" t="str">
        <x:v>C965806</x:v>
      </x:c>
      <x:c r="D14" s="8" t="n">
        <x:f>LEN(B14)-LEN(SUBSTITUTE(B14,",",""))+1</x:f>
        <x:v>1</x:v>
      </x:c>
    </x:row>
    <x:row r="15" ht="15" hidden="0" customHeight="1">
      <x:c r="A15" s="7" t="str">
        <x:v>LED2 red</x:v>
      </x:c>
      <x:c r="B15" s="7" t="str">
        <x:v>D2</x:v>
      </x:c>
      <x:c r="C15" s="7" t="str">
        <x:v>C965799</x:v>
      </x:c>
      <x:c r="D15" s="8" t="n">
        <x:f>LEN(B15)-LEN(SUBSTITUTE(B15,",",""))+1</x:f>
        <x:v>1</x:v>
      </x:c>
    </x:row>
    <x:row r="16" ht="15" hidden="0" customHeight="1">
      <x:c r="A16" s="7" t="str">
        <x:v>Power LED blue</x:v>
      </x:c>
      <x:c r="B16" s="7" t="str">
        <x:v>D3</x:v>
      </x:c>
      <x:c r="C16" s="7" t="str">
        <x:v>C965807</x:v>
      </x:c>
      <x:c r="D16" s="8" t="n">
        <x:f>LEN(B16)-LEN(SUBSTITUTE(B16,",",""))+1</x:f>
        <x:v>1</x:v>
      </x:c>
    </x:row>
    <x:row r="17" ht="15" hidden="0" customHeight="1">
      <x:c r="A17" s="7" t="str">
        <x:v>SMF9.0A</x:v>
      </x:c>
      <x:c r="B17" s="7" t="str">
        <x:v>D4</x:v>
      </x:c>
      <x:c r="C17" s="7" t="str">
        <x:v>C1973343</x:v>
      </x:c>
      <x:c r="D17" s="8" t="n">
        <x:f>LEN(B17)-LEN(SUBSTITUTE(B17,",",""))+1</x:f>
        <x:v>1</x:v>
      </x:c>
    </x:row>
    <x:row r="18" ht="15" hidden="0" customHeight="1">
      <x:c r="A18" s="7" t="str">
        <x:v>B5819WS</x:v>
      </x:c>
      <x:c r="B18" s="7" t="str">
        <x:v>D5,D6</x:v>
      </x:c>
      <x:c r="C18" s="7" t="str">
        <x:v>C22624</x:v>
      </x:c>
      <x:c r="D18" s="8" t="n">
        <x:f>LEN(B18)-LEN(SUBSTITUTE(B18,",",""))+1</x:f>
        <x:v>2</x:v>
      </x:c>
    </x:row>
    <x:row r="19" ht="15" hidden="0" customHeight="1">
      <x:c r="A19" s="7" t="str">
        <x:v>0.5A PTC</x:v>
      </x:c>
      <x:c r="B19" s="7" t="str">
        <x:v>F1,F2</x:v>
      </x:c>
      <x:c r="C19" s="7" t="str">
        <x:v>C20978</x:v>
      </x:c>
      <x:c r="D19" s="8" t="n">
        <x:f>LEN(B19)-LEN(SUBSTITUTE(B19,",",""))+1</x:f>
        <x:v>2</x:v>
      </x:c>
    </x:row>
    <x:row r="20" ht="15" hidden="0" customHeight="1">
      <x:c r="A20" s="7" t="str">
        <x:v>DSM (UART1)</x:v>
      </x:c>
      <x:c r="B20" s="7" t="str">
        <x:v>J2</x:v>
      </x:c>
      <x:c r="C20" s="7" t="str">
        <x:v>C489717</x:v>
      </x:c>
      <x:c r="D20" s="8" t="n">
        <x:f>LEN(B20)-LEN(SUBSTITUTE(B20,",",""))+1</x:f>
        <x:v>1</x:v>
      </x:c>
    </x:row>
    <x:row r="21" ht="15" hidden="0" customHeight="1">
      <x:c r="A21" s="7" t="str">
        <x:v>A-CRSF (UART4)</x:v>
      </x:c>
      <x:c r="B21" s="7" t="str">
        <x:v>J3,J4,J5</x:v>
      </x:c>
      <x:c r="C21" s="7" t="str">
        <x:v>C161692</x:v>
      </x:c>
      <x:c r="D21" s="8" t="n">
        <x:f>LEN(B21)-LEN(SUBSTITUTE(B21,",",""))+1</x:f>
        <x:v>3</x:v>
      </x:c>
    </x:row>
    <x:row r="22" ht="15" hidden="0" customHeight="1">
      <x:c r="A22" s="7" t="str">
        <x:v>USB-C vertical</x:v>
      </x:c>
      <x:c r="B22" s="7" t="str">
        <x:v>J6</x:v>
      </x:c>
      <x:c r="C22" s="7" t="str">
        <x:v>C2689964</x:v>
      </x:c>
      <x:c r="D22" s="8" t="n">
        <x:f>LEN(B22)-LEN(SUBSTITUTE(B22,",",""))+1</x:f>
        <x:v>1</x:v>
      </x:c>
    </x:row>
    <x:row r="23" ht="15" hidden="0" customHeight="1">
      <x:c r="A23" s="7" t="str">
        <x:v>2.2uH 3A</x:v>
      </x:c>
      <x:c r="B23" s="7" t="str">
        <x:v>L1</x:v>
      </x:c>
      <x:c r="C23" s="7" t="str">
        <x:v>C142096</x:v>
      </x:c>
      <x:c r="D23" s="8" t="n">
        <x:f>LEN(B23)-LEN(SUBSTITUTE(B23,",",""))+1</x:f>
        <x:v>1</x:v>
      </x:c>
    </x:row>
    <x:row r="24" ht="15" hidden="0" customHeight="1">
      <x:c r="A24" s="7" t="str">
        <x:v>2.2uH</x:v>
      </x:c>
      <x:c r="B24" s="7" t="str">
        <x:v>L2</x:v>
      </x:c>
      <x:c r="C24" s="7" t="str">
        <x:v>C5291913</x:v>
      </x:c>
      <x:c r="D24" s="8" t="n">
        <x:f>LEN(B24)-LEN(SUBSTITUTE(B24,",",""))+1</x:f>
        <x:v>1</x:v>
      </x:c>
    </x:row>
    <x:row r="25" ht="15" hidden="0" customHeight="1">
      <x:c r="A25" s="7" t="str">
        <x:v>10k</x:v>
      </x:c>
      <x:c r="B25" s="7" t="str">
        <x:v>R1,R5,R8,R9,R10,R17,R19</x:v>
      </x:c>
      <x:c r="C25" s="7" t="str">
        <x:v>C25744</x:v>
      </x:c>
      <x:c r="D25" s="8" t="n">
        <x:f>LEN(B25)-LEN(SUBSTITUTE(B25,",",""))+1</x:f>
        <x:v>7</x:v>
      </x:c>
    </x:row>
    <x:row r="26" ht="15" hidden="0" customHeight="1">
      <x:c r="A26" s="7" t="str">
        <x:v>120k</x:v>
      </x:c>
      <x:c r="B26" s="7" t="str">
        <x:v>R11</x:v>
      </x:c>
      <x:c r="C26" s="7" t="str">
        <x:v>C25750</x:v>
      </x:c>
      <x:c r="D26" s="8" t="n">
        <x:f>LEN(B26)-LEN(SUBSTITUTE(B26,",",""))+1</x:f>
        <x:v>1</x:v>
      </x:c>
    </x:row>
    <x:row r="27" ht="15" hidden="0" customHeight="1">
      <x:c r="A27" s="7" t="str">
        <x:v>22k</x:v>
      </x:c>
      <x:c r="B27" s="7" t="str">
        <x:v>R12</x:v>
      </x:c>
      <x:c r="C27" s="7" t="str">
        <x:v>C25768</x:v>
      </x:c>
      <x:c r="D27" s="8" t="n">
        <x:f>LEN(B27)-LEN(SUBSTITUTE(B27,",",""))+1</x:f>
        <x:v>1</x:v>
      </x:c>
    </x:row>
    <x:row r="28" ht="15" hidden="0" customHeight="1">
      <x:c r="A28" s="7" t="str">
        <x:v>100k</x:v>
      </x:c>
      <x:c r="B28" s="7" t="str">
        <x:v>R13</x:v>
      </x:c>
      <x:c r="C28" s="7" t="str">
        <x:v>C25741</x:v>
      </x:c>
      <x:c r="D28" s="8" t="n">
        <x:f>LEN(B28)-LEN(SUBSTITUTE(B28,",",""))+1</x:f>
        <x:v>1</x:v>
      </x:c>
    </x:row>
    <x:row r="29" ht="15" hidden="0" customHeight="1">
      <x:c r="A29" s="7" t="str">
        <x:v>27k</x:v>
      </x:c>
      <x:c r="B29" s="7" t="str">
        <x:v>R14</x:v>
      </x:c>
      <x:c r="C29" s="7" t="str">
        <x:v>C25771</x:v>
      </x:c>
      <x:c r="D29" s="8" t="n">
        <x:f>LEN(B29)-LEN(SUBSTITUTE(B29,",",""))+1</x:f>
        <x:v>1</x:v>
      </x:c>
    </x:row>
    <x:row r="30" ht="15" hidden="0" customHeight="1">
      <x:c r="A30" s="7" t="str">
        <x:v>27.4k</x:v>
      </x:c>
      <x:c r="B30" s="7" t="str">
        <x:v>R15</x:v>
      </x:c>
      <x:c r="C30" s="7" t="str">
        <x:v>C26971</x:v>
      </x:c>
      <x:c r="D30" s="8" t="n">
        <x:f>LEN(B30)-LEN(SUBSTITUTE(B30,",",""))+1</x:f>
        <x:v>1</x:v>
      </x:c>
    </x:row>
    <x:row r="31" ht="15" hidden="0" customHeight="1">
      <x:c r="A31" s="7" t="str">
        <x:v>52.3k</x:v>
      </x:c>
      <x:c r="B31" s="7" t="str">
        <x:v>R16</x:v>
      </x:c>
      <x:c r="C31" s="7" t="str">
        <x:v>C26982</x:v>
      </x:c>
      <x:c r="D31" s="8" t="n">
        <x:f>LEN(B31)-LEN(SUBSTITUTE(B31,",",""))+1</x:f>
        <x:v>1</x:v>
      </x:c>
    </x:row>
    <x:row r="32" ht="15" hidden="0" customHeight="1">
      <x:c r="A32" s="7" t="str">
        <x:v>21k</x:v>
      </x:c>
      <x:c r="B32" s="7" t="str">
        <x:v>R18</x:v>
      </x:c>
      <x:c r="C32" s="7" t="str">
        <x:v>C25766</x:v>
      </x:c>
      <x:c r="D32" s="8" t="n">
        <x:f>LEN(B32)-LEN(SUBSTITUTE(B32,",",""))+1</x:f>
        <x:v>1</x:v>
      </x:c>
    </x:row>
    <x:row r="33" ht="15" hidden="0" customHeight="1">
      <x:c r="A33" s="7" t="str">
        <x:v>1k</x:v>
      </x:c>
      <x:c r="B33" s="7" t="str">
        <x:v>R2,R3,R22,R4</x:v>
      </x:c>
      <x:c r="C33" s="7" t="str">
        <x:v>C11702</x:v>
      </x:c>
      <x:c r="D33" s="8" t="n">
        <x:f>LEN(B33)-LEN(SUBSTITUTE(B33,",",""))+1</x:f>
        <x:v>4</x:v>
      </x:c>
    </x:row>
    <x:row r="34" ht="15" hidden="0" customHeight="1">
      <x:c r="A34" s="7" t="str">
        <x:v>5.1k</x:v>
      </x:c>
      <x:c r="B34" s="7" t="str">
        <x:v>R20,R21</x:v>
      </x:c>
      <x:c r="C34" s="7" t="str">
        <x:v>C25905</x:v>
      </x:c>
      <x:c r="D34" s="8" t="n">
        <x:f>LEN(B34)-LEN(SUBSTITUTE(B34,",",""))+1</x:f>
        <x:v>2</x:v>
      </x:c>
    </x:row>
    <x:row r="35" ht="15" hidden="0" customHeight="1">
      <x:c r="A35" s="7" t="str">
        <x:v>0.15</x:v>
      </x:c>
      <x:c r="B35" s="7" t="str">
        <x:v>R23</x:v>
      </x:c>
      <x:c r="C35" s="7" t="str">
        <x:v>C423234</x:v>
      </x:c>
      <x:c r="D35" s="8" t="n">
        <x:f>LEN(B35)-LEN(SUBSTITUTE(B35,",",""))+1</x:f>
        <x:v>1</x:v>
      </x:c>
    </x:row>
    <x:row r="36" ht="15" hidden="0" customHeight="1">
      <x:c r="A36" s="7" t="str">
        <x:v>2.2k</x:v>
      </x:c>
      <x:c r="B36" s="7" t="str">
        <x:v>R6,R7</x:v>
      </x:c>
      <x:c r="C36" s="7" t="str">
        <x:v>C25879</x:v>
      </x:c>
      <x:c r="D36" s="8" t="n">
        <x:f>LEN(B36)-LEN(SUBSTITUTE(B36,",",""))+1</x:f>
        <x:v>2</x:v>
      </x:c>
    </x:row>
    <x:row r="37" ht="15" hidden="0" customHeight="1">
      <x:c r="A37" s="7" t="str">
        <x:v>BOOT</x:v>
      </x:c>
      <x:c r="B37" s="7" t="str">
        <x:v>SW1</x:v>
      </x:c>
      <x:c r="C37" s="7" t="str">
        <x:v>C720477</x:v>
      </x:c>
      <x:c r="D37" s="8" t="n">
        <x:f>LEN(B37)-LEN(SUBSTITUTE(B37,",",""))+1</x:f>
        <x:v>1</x:v>
      </x:c>
    </x:row>
    <x:row r="38" ht="15" hidden="0" customHeight="1">
      <x:c r="A38" s="7" t="str">
        <x:v>STM32F722RET6</x:v>
      </x:c>
      <x:c r="B38" s="7" t="str">
        <x:v>U1</x:v>
      </x:c>
      <x:c r="C38" s="7" t="str">
        <x:v>C118207</x:v>
      </x:c>
      <x:c r="D38" s="8" t="n">
        <x:f>LEN(B38)-LEN(SUBSTITUTE(B38,",",""))+1</x:f>
        <x:v>1</x:v>
      </x:c>
    </x:row>
    <x:row r="39" ht="15" hidden="0" customHeight="1">
      <x:c r="A39" s="7" t="str">
        <x:v>TPS70933DBVR</x:v>
      </x:c>
      <x:c r="B39" s="7" t="str">
        <x:v>U10</x:v>
      </x:c>
      <x:c r="C39" s="7" t="str">
        <x:v>C89347</x:v>
      </x:c>
      <x:c r="D39" s="8" t="n">
        <x:f>LEN(B39)-LEN(SUBSTITUTE(B39,",",""))+1</x:f>
        <x:v>1</x:v>
      </x:c>
    </x:row>
    <x:row r="40" ht="15" hidden="0" customHeight="1">
      <x:c r="A40" s="7" t="str">
        <x:v>SRV05-4</x:v>
      </x:c>
      <x:c r="B40" s="7" t="str">
        <x:v>U11,U12,U13,U15</x:v>
      </x:c>
      <x:c r="C40" s="7" t="str">
        <x:v>C13612</x:v>
      </x:c>
      <x:c r="D40" s="8" t="n">
        <x:f>LEN(B40)-LEN(SUBSTITUTE(B40,",",""))+1</x:f>
        <x:v>4</x:v>
      </x:c>
    </x:row>
    <x:row r="41" ht="15" hidden="0" customHeight="1">
      <x:c r="A41" s="7" t="str">
        <x:v>TPS629210DRLR</x:v>
      </x:c>
      <x:c r="B41" s="7" t="str">
        <x:v>U14</x:v>
      </x:c>
      <x:c r="C41" s="7" t="str">
        <x:v>C5219301</x:v>
      </x:c>
      <x:c r="D41" s="8" t="n">
        <x:f>LEN(B41)-LEN(SUBSTITUTE(B41,",",""))+1</x:f>
        <x:v>1</x:v>
      </x:c>
    </x:row>
    <x:row r="42" ht="15" hidden="0" customHeight="1">
      <x:c r="A42" s="7" t="str">
        <x:v>ICM-42688-P</x:v>
      </x:c>
      <x:c r="B42" s="7" t="str">
        <x:v>U2</x:v>
      </x:c>
      <x:c r="C42" s="7" t="str">
        <x:v>C1850418</x:v>
      </x:c>
      <x:c r="D42" s="8" t="n">
        <x:f>LEN(B42)-LEN(SUBSTITUTE(B42,",",""))+1</x:f>
        <x:v>1</x:v>
      </x:c>
    </x:row>
    <x:row r="43" ht="15" hidden="0" customHeight="1">
      <x:c r="A43" s="7" t="str">
        <x:v>DPS368XTSA1</x:v>
      </x:c>
      <x:c r="B43" s="7" t="str">
        <x:v>U3</x:v>
      </x:c>
      <x:c r="C43" s="7" t="str">
        <x:v>C3232508</x:v>
      </x:c>
      <x:c r="D43" s="8" t="n">
        <x:f>LEN(B43)-LEN(SUBSTITUTE(B43,",",""))+1</x:f>
        <x:v>1</x:v>
      </x:c>
    </x:row>
    <x:row r="44" ht="15" hidden="0" customHeight="1">
      <x:c r="A44" s="7" t="str">
        <x:v>W25N01GVZEIG</x:v>
      </x:c>
      <x:c r="B44" s="7" t="str">
        <x:v>U4</x:v>
      </x:c>
      <x:c r="C44" s="7" t="str">
        <x:v>C907680</x:v>
      </x:c>
      <x:c r="D44" s="8" t="n">
        <x:f>LEN(B44)-LEN(SUBSTITUTE(B44,",",""))+1</x:f>
        <x:v>1</x:v>
      </x:c>
    </x:row>
    <x:row r="45" ht="15" hidden="0" customHeight="1">
      <x:c r="A45" s="7" t="str">
        <x:v>TPS62130RGTR</x:v>
      </x:c>
      <x:c r="B45" s="7" t="str">
        <x:v>U5</x:v>
      </x:c>
      <x:c r="C45" s="7" t="str">
        <x:v>C43590</x:v>
      </x:c>
      <x:c r="D45" s="8" t="n">
        <x:f>LEN(B45)-LEN(SUBSTITUTE(B45,",",""))+1</x:f>
        <x:v>1</x:v>
      </x:c>
    </x:row>
    <x:row r="46" ht="15" hidden="0" customHeight="1">
      <x:c r="A46" s="7" t="str">
        <x:v>USBLC6-2SC6</x:v>
      </x:c>
      <x:c r="B46" s="7" t="str">
        <x:v>U7</x:v>
      </x:c>
      <x:c r="C46" s="7" t="str">
        <x:v>C7519</x:v>
      </x:c>
      <x:c r="D46" s="8" t="n">
        <x:f>LEN(B46)-LEN(SUBSTITUTE(B46,",",""))+1</x:f>
        <x:v>1</x:v>
      </x:c>
    </x:row>
    <x:row r="47" ht="15" hidden="0" customHeight="1">
      <x:c r="A47" s="7" t="str">
        <x:v>TPS2116DRLR</x:v>
      </x:c>
      <x:c r="B47" s="7" t="str">
        <x:v>U9</x:v>
      </x:c>
      <x:c r="C47" s="7" t="str">
        <x:v>C3235557</x:v>
      </x:c>
      <x:c r="D47" s="8" t="n">
        <x:f>LEN(B47)-LEN(SUBSTITUTE(B47,",",""))+1</x:f>
        <x:v>1</x:v>
      </x:c>
    </x:row>
    <x:row r="48" ht="15" hidden="0" customHeight="1">
      <x:c r="A48" s="7" t="str">
        <x:v>8MHz 20pF</x:v>
      </x:c>
      <x:c r="B48" s="7" t="str">
        <x:v>Y1</x:v>
      </x:c>
      <x:c r="C48" s="7" t="str">
        <x:v>C5181477</x:v>
      </x:c>
      <x:c r="D48" s="8" t="n">
        <x:f>LEN(B48)-LEN(SUBSTITUTE(B48,",",""))+1</x:f>
        <x:v>1</x:v>
      </x:c>
    </x:row>
  </x:sheetData>
  <x:pageMargins left="0.7" right="0.7" top="0.75" bottom="0.75" header="0.3" footer="0.3"/>
</x:worksheet>
</file>